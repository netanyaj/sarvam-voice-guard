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est log" sheetId="2" state="visible" r:id="rId4"/>
    <sheet name="Summary" sheetId="3" state="visible" r:id="rId5"/>
    <sheet name="Error types" sheetId="4" state="visible" r:id="rId6"/>
  </sheets>
  <definedNames>
    <definedName function="false" hidden="true" localSheetId="1" name="_xlnm._FilterDatabase" vbProcedure="false">'Test log'!$A$1:$K$42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<sst xmlns="http://schemas.openxmlformats.org/spreadsheetml/2006/main" count="331" uniqueCount="254">
  <si>
    <t xml:space="preserve">Sarvam hands-on error log</t>
  </si>
  <si>
    <t xml:space="preserve">Goal: find 4–5 clear, repeatable error categories in about 3 hours. Precision beats volume.</t>
  </si>
  <si>
    <t xml:space="preserve">Steps</t>
  </si>
  <si>
    <t xml:space="preserve">1. Work down the Test log. Each row says what to test; write your exact input in the yellow 'Your input' column, in an Indian language you speak.</t>
  </si>
  <si>
    <t xml:space="preserve">2. Fill 'Expected' before you run it, then paste what you actually got.</t>
  </si>
  <si>
    <t xml:space="preserve">3. Pick an Error type and Severity from the dropdowns. Use 'None (passed)' when it worked; passes count too.</t>
  </si>
  <si>
    <t xml:space="preserve">4. Note latency in seconds for voice tests, and the screenshot filename in Notes.</t>
  </si>
  <si>
    <t xml:space="preserve">5. When a category shows a real failure, run 2–3 variations of it (rows T26 onward are blank for this). Repeatable beats one-off.</t>
  </si>
  <si>
    <t xml:space="preserve">6. The Summary tab counts errors by type and severity automatically.</t>
  </si>
  <si>
    <t xml:space="preserve">Which cells to edit: yellow cells only. Inputs and expected outputs are pre-filled; T01–T12 run in the Indus app by hand, T13–T25 run through the API script.</t>
  </si>
  <si>
    <t xml:space="preserve">Surfaces: Indus app (text and voice) and the Sarvam API playground (speech-to-text, text-to-speech, translation). Skip anything gated behind an enterprise signup.</t>
  </si>
  <si>
    <t xml:space="preserve">ID</t>
  </si>
  <si>
    <t xml:space="preserve">Surface</t>
  </si>
  <si>
    <t xml:space="preserve">Category</t>
  </si>
  <si>
    <t xml:space="preserve">What to test</t>
  </si>
  <si>
    <t xml:space="preserve">Your input</t>
  </si>
  <si>
    <t xml:space="preserve">Expected</t>
  </si>
  <si>
    <t xml:space="preserve">Got</t>
  </si>
  <si>
    <t xml:space="preserve">Error type</t>
  </si>
  <si>
    <t xml:space="preserve">Severity</t>
  </si>
  <si>
    <t xml:space="preserve">Latency (s)</t>
  </si>
  <si>
    <t xml:space="preserve">Notes / screenshot</t>
  </si>
  <si>
    <t xml:space="preserve">T01</t>
  </si>
  <si>
    <t xml:space="preserve">Indus – text</t>
  </si>
  <si>
    <t xml:space="preserve">Code-mixing</t>
  </si>
  <si>
    <t xml:space="preserve">Ask a question mixing English and your language mid-sentence; check reply language and script</t>
  </si>
  <si>
    <t xml:space="preserve">എനിക്ക് നാളെ ഒരു job interview ഉണ്ട്, എന്ത് prepare ചെയ്യണം?</t>
  </si>
  <si>
    <t xml:space="preserve">Reply in Malayalam script, keeping English terms (interview, prepare) as a Malayali would; practical prep tips; doesn't switch fully to English.</t>
  </si>
  <si>
    <t xml:space="preserve">Reply in Malayalam with natural English terms (interview, JD, STAR, resume); practical day-before plan; ended by asking role and format.</t>
  </si>
  <si>
    <t xml:space="preserve">None (passed)</t>
  </si>
  <si>
    <t xml:space="preserve">~20</t>
  </si>
  <si>
    <t xml:space="preserve">Indus Agent mode, run 28 Oct. Included one made-up stat ('70% of questions come from the JD') stated as fact.</t>
  </si>
  <si>
    <t xml:space="preserve">T02</t>
  </si>
  <si>
    <t xml:space="preserve">Ask in Roman-script (transliterated) form of your language; see if it replies in Roman or native script</t>
  </si>
  <si>
    <t xml:space="preserve">Ente phone il battery pettennu theerunnu, enthu cheyyanam?</t>
  </si>
  <si>
    <t xml:space="preserve">Understands Manglish; gives battery tips; note whether it replies in Manglish or Malayalam script (either is fine if consistent).</t>
  </si>
  <si>
    <t xml:space="preserve">Replied fully in Manglish (Roman script), consistent throughout; correct battery tips; asked for phone model.</t>
  </si>
  <si>
    <t xml:space="preserve">Matched the user's script, which is the right call.</t>
  </si>
  <si>
    <t xml:space="preserve">T03</t>
  </si>
  <si>
    <t xml:space="preserve">Indus – voice</t>
  </si>
  <si>
    <t xml:space="preserve">Speak a code-mixed sentence with English tech words (app, OTP, refund)</t>
  </si>
  <si>
    <t xml:space="preserve">(Speak) എന്റെ OTP വന്നില്ല, refund status ഒന്ന് check ചെയ്യാമോ?</t>
  </si>
  <si>
    <t xml:space="preserve">Hears OTP, refund, status, check correctly; replies in Malayalam voice; says it can't see accounts and suggests next steps.</t>
  </si>
  <si>
    <t xml:space="preserve">Heard: 'എൻ്റെ ഒടിപി വന്നില്ല, റീഫണ്ട് സ്റ്റേറ്റസ് ഒന്ന് ചെക്ക് ചെയ്യുമോ?' Reply: said plainly it has no access to order or payment systems, then gave OTP and refund troubleshooting steps and asked which app it was.</t>
  </si>
  <si>
    <t xml:space="preserve">Voice run by you, 29 Oct. All English words (OTP, refund, status, check) recognised, written in Malayalam script. 'ചെയ്യാമോ' came through as 'ചെയ്യുമോ'; same meaning. Honest about its limits instead of inventing a status.</t>
  </si>
  <si>
    <t xml:space="preserve">T04</t>
  </si>
  <si>
    <t xml:space="preserve">Numbers</t>
  </si>
  <si>
    <t xml:space="preserve">Ask a money question with lakh/crore and decimals (e.g. EMI on 4.5 lakh at 9.5%)</t>
  </si>
  <si>
    <t xml:space="preserve">4.5 ലക്ഷം രൂപ 9.5% പലിശക്ക് 3 വർഷത്തേക്ക് എടുത്താൽ EMI എത്ര വരും?</t>
  </si>
  <si>
    <t xml:space="preserve">About ₹14,415 per month; total interest about ₹68,934. Reads 4.5 ലക്ഷം as ₹4,50,000.</t>
  </si>
  <si>
    <t xml:space="preserve">EMI about ₹14,415/month; total ₹5,18,934; interest about ₹68,934. Read 4.5 ലക്ഷം as ₹4,50,000. Used a calculator tool.</t>
  </si>
  <si>
    <t xml:space="preserve">~40</t>
  </si>
  <si>
    <t xml:space="preserve">Correct. Slowest answer so far; English terms here were transliterated into Malayalam script, unlike T01.</t>
  </si>
  <si>
    <t xml:space="preserve">T05</t>
  </si>
  <si>
    <t xml:space="preserve">Speak a phone number and a 6-digit OTP; ask it to repeat them back</t>
  </si>
  <si>
    <t xml:space="preserve">(Speak) എന്റെ നമ്പർ 98470 12345 ആണ്, OTP 482913. ഇത് ഒന്ന് തിരിച്ചു പറയാമോ?</t>
  </si>
  <si>
    <t xml:space="preserve">Repeats 98470 12345 and 482913 exactly, read naturally (grouped digits, not 'ninety-eight thousand…').</t>
  </si>
  <si>
    <t xml:space="preserve">Heard: 'എൻ്റെ നമ്പർ തൊണ്ണൂറ്റി നാൽപ്പത്തേഴ് പൂജ്യം ഒന്ന് രണ്ട് മൂന്ന് നാല് അഞ്ച്…' Read back the number as 97012345 (8 digits) and flagged that digits seemed missing. OTP read back correctly as 482913.</t>
  </si>
  <si>
    <t xml:space="preserve">Number / amount</t>
  </si>
  <si>
    <t xml:space="preserve">High</t>
  </si>
  <si>
    <t xml:space="preserve">Phone number came back wrong at two layers: the transcript lost part of '98' (98470 → 'തൊണ്ണൂറ്റി നാൽപ്പത്തേഴ്'), then the model turned that into 97. It did notice only 8 digits and asked you to confirm, and warned against sharing OTPs. Numbers stay as words in the chat transcript, while the API (T14) returns digits.</t>
  </si>
  <si>
    <t xml:space="preserve">T06</t>
  </si>
  <si>
    <t xml:space="preserve">Dates</t>
  </si>
  <si>
    <t xml:space="preserve">Use relative dates in your language (day after tomorrow, next Friday); ask for the exact date</t>
  </si>
  <si>
    <t xml:space="preserve">ഇന്നത്തെ തീയതി എന്താണ്? മറ്റന്നാൾ ഏത് തീയതി ആയിരിക്കും? അടുത്ത വെള്ളിയാഴ്ച ഏത് തീയതി?</t>
  </si>
  <si>
    <t xml:space="preserve">If run on 28 Oct 2026: today Wed 28 Oct; day after tomorrow Fri 30 Oct; 'next Friday' is ambiguous (30 Oct or 6 Nov) and should be flagged. Adjust for the day you test.</t>
  </si>
  <si>
    <t xml:space="preserve">Today Wed 28 Oct 2026; day after tomorrow Fri 30 Oct; flagged 'next Friday' as ambiguous and gave both 30 Oct and 6 Nov.</t>
  </si>
  <si>
    <t xml:space="preserve">~25</t>
  </si>
  <si>
    <t xml:space="preserve">Best answer of the set.</t>
  </si>
  <si>
    <t xml:space="preserve">T07</t>
  </si>
  <si>
    <t xml:space="preserve">Names</t>
  </si>
  <si>
    <t xml:space="preserve">Ask about local places and people from your region with uncommon spellings</t>
  </si>
  <si>
    <t xml:space="preserve">തൃപ്പൂണിത്തുറ അത്തച്ചമയം, കൊടുങ്ങല്ലൂർ ഭരണി — രണ്ടിനെയും കുറിച്ച് ചുരുക്കി പറയാമോ?</t>
  </si>
  <si>
    <t xml:space="preserve">Correct spellings; Athachamayam is the Atham-day procession in Tripunithura that opens Onam; Bharani is the festival at Kodungallur Bhagavathy temple.</t>
  </si>
  <si>
    <t xml:space="preserve">Accurate descriptions of both festivals, correct spellings. Auto chat title was 'Thrissur Pooram Bharani'; said Athachamayam is 'exactly ten days' before Thiruvonam.</t>
  </si>
  <si>
    <t xml:space="preserve">Name / entity</t>
  </si>
  <si>
    <t xml:space="preserve">Low</t>
  </si>
  <si>
    <t xml:space="preserve">~30</t>
  </si>
  <si>
    <t xml:space="preserve">Chat title names a festival that wasn't asked about. Atham to Thiruvonam is 9 days, not 10 (Atham is day 1). Some translationese in the last paragraph.</t>
  </si>
  <si>
    <t xml:space="preserve">T08</t>
  </si>
  <si>
    <t xml:space="preserve">Indian context</t>
  </si>
  <si>
    <t xml:space="preserve">Ask a factual question about a recent Indian government scheme or local fact; verify the answer</t>
  </si>
  <si>
    <t xml:space="preserve">കൊച്ചി വാട്ടർ മെട്രോ എന്ന് തുടങ്ങി? ഇപ്പോൾ ഏതൊക്കെ റൂട്ടുകൾ ഉണ്ട്?</t>
  </si>
  <si>
    <t xml:space="preserve">Started April 2023 (first route High Court–Vypin). Verify current routes on the KMRL / Water Metro site before marking.</t>
  </si>
  <si>
    <t xml:space="preserve">Opened 25 Apr 2023 (service from 26 Apr, High Court–Vypin); listed 6 routes and 10 terminals; noted Mattancherry route suspension; cited web sources.</t>
  </si>
  <si>
    <t xml:space="preserve">Searched the web with citations. Route list and dates confirmed by you.</t>
  </si>
  <si>
    <t xml:space="preserve">T09</t>
  </si>
  <si>
    <t xml:space="preserve">Instruction following</t>
  </si>
  <si>
    <t xml:space="preserve">Ask for an answer in exactly 3 bullet points, only in your language, no English</t>
  </si>
  <si>
    <t xml:space="preserve">ഓണത്തെ കുറിച്ച് കൃത്യം 3 bullet points, മലയാളത്തിൽ മാത്രം, ഒരു English വാക്കും ഉപയോഗിക്കരുത്.</t>
  </si>
  <si>
    <t xml:space="preserve">Exactly 3 bullets; Malayalam only; zero English words.</t>
  </si>
  <si>
    <t xml:space="preserve">Exactly 3 bullets, Malayalam only, no English words. Listed 'തുമ്പപ്പൂക്കളി' as an Onam art form.</t>
  </si>
  <si>
    <t xml:space="preserve">Instruction followed perfectly; content confirmed by you.</t>
  </si>
  <si>
    <t xml:space="preserve">T10</t>
  </si>
  <si>
    <t xml:space="preserve">Reasoning</t>
  </si>
  <si>
    <t xml:space="preserve">Give a short word problem in your language; check the answer and the explanation</t>
  </si>
  <si>
    <t xml:space="preserve">ഒരു കടയിൽ 1 kg അരിക്ക് ₹48. 12.5 kg വാങ്ങി, 5% discount കിട്ടി. എത്ര രൂപ കൊടുക്കണം?</t>
  </si>
  <si>
    <t xml:space="preserve">₹570 (₹600 minus 5%), with correct steps.</t>
  </si>
  <si>
    <t xml:space="preserve">₹600 − 5% (₹30) = ₹570, steps shown.</t>
  </si>
  <si>
    <t xml:space="preserve">T11</t>
  </si>
  <si>
    <t xml:space="preserve">Long input</t>
  </si>
  <si>
    <t xml:space="preserve">Upload or paste a 1–2 page document in your language; ask for a summary and one specific detail</t>
  </si>
  <si>
    <t xml:space="preserve">Paste a 1–2 page Malayalam news article you choose, then ask: ഇതിന്റെ 3 വരി സംഗ്രഹം തരൂ. ലേഖനത്തിൽ പറയുന്ന ആദ്യ തീയതി ഏതാണ്?</t>
  </si>
  <si>
    <t xml:space="preserve">Accurate 3-line summary; the date exactly as written in the article.</t>
  </si>
  <si>
    <t xml:space="preserve">Dummy Kochi waste-segregation article (written for the test). First date: ഒക്ടോബർ 12 (correct; not fooled by 2019 or നവംബർ 1). Amount: ₹3.5 കോടി (correct). The '3-line summary' was one paragraph of 6 sentences.</t>
  </si>
  <si>
    <t xml:space="preserve">Instruction miss</t>
  </si>
  <si>
    <t xml:space="preserve">All facts and numbers right. Ignored the 3-line length limit. Input was an invented article, not a real news piece.</t>
  </si>
  <si>
    <t xml:space="preserve">T12</t>
  </si>
  <si>
    <t xml:space="preserve">Indus – app</t>
  </si>
  <si>
    <t xml:space="preserve">UX</t>
  </si>
  <si>
    <t xml:space="preserve">Note friction: login, waitlist, reasoning delay, chat history controls, switching language</t>
  </si>
  <si>
    <t xml:space="preserve">Walk through: sign up → first chat → switch to Malayalam voice → delete one chat → turn reasoning off.</t>
  </si>
  <si>
    <t xml:space="preserve">Each step reachable in a few taps; no hard waitlist; single-chat delete; a way to skip reasoning. Note anything missing.</t>
  </si>
  <si>
    <t xml:space="preserve">Indus now lives inside a 'Cowork' workspace (switcher: Cowork, Sarvam API, Voice Agents, Content Studio, Doc Agents, Code). Single-chat Rename/Delete exists. No reasoning toggle or speed mode; no language setting; settings are organisation-level only. Model training is on by default. 80 credits shown.</t>
  </si>
  <si>
    <t xml:space="preserve">Latency</t>
  </si>
  <si>
    <t xml:space="preserve">Medium</t>
  </si>
  <si>
    <t xml:space="preserve">20–40</t>
  </si>
  <si>
    <t xml:space="preserve">Launch-era gaps (chat delete) are fixed. Main friction: 20–40 s per answer with no fast mode. Delete not clicked, only confirmed present.</t>
  </si>
  <si>
    <t xml:space="preserve">T13</t>
  </si>
  <si>
    <t xml:space="preserve">STT API</t>
  </si>
  <si>
    <t xml:space="preserve">Record 20–30 seconds of natural code-mixed speech; check the transcript word by word</t>
  </si>
  <si>
    <t xml:space="preserve">(Synthetic) Sarvam TTS reads: ഇന്നലെ ഞാൻ Lulu Mall ൽ പോയി, പക്ഷേ parking full ആയിരുന്നു, so ഞങ്ങൾ Edappally metro station ൽ നിന്ന് auto പിടിച്ചു.</t>
  </si>
  <si>
    <t xml:space="preserve">Transcript matches word for word; English words (Lulu Mall, parking, full, so, metro station, auto) kept recognisable.</t>
  </si>
  <si>
    <t xml:space="preserve">ഇന്നലെ ഞാൻ ലു മാളിൽ പോയി. പക്ഷേ പാർക്കിംഗ് ഫുൾ ആയിരുന്നു. സോ ഞങ്ങൾ എടാപ്പള്ളി മെട്രോ സ്റ്റേഷനിൽ നിന്ന് ഓട്ടോ പിടിച്ചു.</t>
  </si>
  <si>
    <t xml:space="preserve">'Lulu' became 'ലു' and Edappally became 'എടാപ്പള്ളി'. Everything else right; English words written in Malayalam script. Synthetic audio (Sarvam TTS).</t>
  </si>
  <si>
    <t xml:space="preserve">T14</t>
  </si>
  <si>
    <t xml:space="preserve">Record amounts, dates and a phone number spoken naturally; check formatting in the transcript</t>
  </si>
  <si>
    <t xml:space="preserve">(Synthetic) TTS reads: എന്റെ phone number 98470 12345 ആണ്. ₹2,450 ന്റെ bill നവംബർ 5-ന് മുമ്പ് അടയ്ക്കണം.</t>
  </si>
  <si>
    <t xml:space="preserve">Digits 98470 12345, amount 2,450 and 'നവംബർ 5' come back correctly (as digits or words, consistently).</t>
  </si>
  <si>
    <t xml:space="preserve">എൻ്റെ ഫോൺ നമ്പർ 9847012345 ആണ്. 2450 റുപ്പീസിൻ്റെ ബിൽ നവംബർ 5ന് മുമ്പ് അടയ്ക്കണം.</t>
  </si>
  <si>
    <t xml:space="preserve">Digits, amount and date all correct. Lost digit grouping (98470 12345 → 9847012345) and ₹ became 'റുപ്പീസ്'.</t>
  </si>
  <si>
    <t xml:space="preserve">T15</t>
  </si>
  <si>
    <t xml:space="preserve">Noise / accent</t>
  </si>
  <si>
    <t xml:space="preserve">Re-record T13 with background noise (fan, traffic, TV)</t>
  </si>
  <si>
    <t xml:space="preserve">T13 audio with pink noise added at low / medium / high levels.</t>
  </si>
  <si>
    <t xml:space="preserve">Same transcript as T13 at low noise; graceful degradation (not garbage) at medium and high.</t>
  </si>
  <si>
    <t xml:space="preserve">Low: 'ലുലു മാളിൽ' (correct). Medium: 'ലൂമാല്യ'. High: 'ലൂ മാളിൽ'. Rest of the sentence identical at all levels.</t>
  </si>
  <si>
    <t xml:space="preserve">0.74–0.83</t>
  </si>
  <si>
    <t xml:space="preserve">Noise barely matters; the only thing that changes is the brand name, which flips between right and wrong. The weak point is the entity, not noise robustness.</t>
  </si>
  <si>
    <t xml:space="preserve">T16</t>
  </si>
  <si>
    <t xml:space="preserve">Long audio</t>
  </si>
  <si>
    <t xml:space="preserve">Try a 2–3 minute clip; check accuracy drift toward the end</t>
  </si>
  <si>
    <t xml:space="preserve">About 2 minutes of Malayalam (6 TTS paragraphs, repeated) sent to the REST endpoint.</t>
  </si>
  <si>
    <t xml:space="preserve">Docs say REST is for audio under 30 s and longer files need the Batch API. Expect a clear error or truncation; check what actually happens.</t>
  </si>
  <si>
    <t xml:space="preserve">HTTP 400: 'Audio duration exceeds the maximum limit of 30 seconds. Please use the batch API for longer audio files.'</t>
  </si>
  <si>
    <t xml:space="preserve">86-second clip. Clear, actionable error, as documented.</t>
  </si>
  <si>
    <t xml:space="preserve">T17</t>
  </si>
  <si>
    <t xml:space="preserve">TTS API</t>
  </si>
  <si>
    <t xml:space="preserve">Feed a sentence with ₹ amounts, dates and a phone number; listen to how they are read</t>
  </si>
  <si>
    <t xml:space="preserve">TTS: നിങ്ങളുടെ EMI ₹14,415 ആണ്, അടുത്ത due date 05/11/2026. സംശയങ്ങൾക്ക് 1800 425 1234 ൽ വിളിക്കുക.</t>
  </si>
  <si>
    <t xml:space="preserve">₹14,415 read as a natural Malayalam amount; date read as 5 November (not 'zero five slash'); helpline read in digit groups. Listen to T17.wav.</t>
  </si>
  <si>
    <t xml:space="preserve">Round-trip transcript: EMI 'പതിനാലായിരത്തി നാനൂറ്റി പതിനഞ്ച് റുപ്പീസ്'; date 'നവംബർ അഞ്ച് രണ്ടായിരത്തി ഇരുപത്തിയാറ്'; helpline read digit by digit.</t>
  </si>
  <si>
    <t xml:space="preserve">Confirmed by listening (audio/T17.wav). Round trip showed the date read naturally and ₹ spoken as 'റുപ്പീസ്'.</t>
  </si>
  <si>
    <t xml:space="preserve">T18</t>
  </si>
  <si>
    <t xml:space="preserve">Feed regional names and brand names; listen for mispronunciation</t>
  </si>
  <si>
    <t xml:space="preserve">TTS: തൃപ്പൂണിത്തുറ, കൊടുങ്ങല്ലൂർ, ഇരിങ്ങാലക്കുട എന്നിവിടങ്ങളിൽ Swiggy, Zomato, PhonePe ഇപ്പോൾ ലഭ്യമാണ്.</t>
  </si>
  <si>
    <t xml:space="preserve">Place names pronounced as a local would; brand names in normal Indian English. Listen to T18.wav.</t>
  </si>
  <si>
    <t xml:space="preserve">Round trip matched the input exactly (all three place names and Swiggy, Zomato, PhonePe).</t>
  </si>
  <si>
    <t xml:space="preserve">Confirmed by listening (audio/T18.wav).</t>
  </si>
  <si>
    <t xml:space="preserve">T19</t>
  </si>
  <si>
    <t xml:space="preserve">Feed a code-mixed sentence; listen for accent switching on English words</t>
  </si>
  <si>
    <t xml:space="preserve">TTS: നിങ്ങളുടെ order confirm ആയിട്ടുണ്ട്, delivery ഇന്ന് evening 6 മണിക്ക് മുമ്പ് ഉണ്ടാകും.</t>
  </si>
  <si>
    <t xml:space="preserve">English words sound natural, no robotic switch at language boundaries. Listen to T19.wav.</t>
  </si>
  <si>
    <t xml:space="preserve">Round trip matched the input exactly.</t>
  </si>
  <si>
    <t xml:space="preserve">Confirmed by listening (audio/T19.wav).</t>
  </si>
  <si>
    <t xml:space="preserve">T20</t>
  </si>
  <si>
    <t xml:space="preserve">Translation API</t>
  </si>
  <si>
    <t xml:space="preserve">Meaning</t>
  </si>
  <si>
    <t xml:space="preserve">Translate an idiom and a polite customer-service sentence into your language; check register</t>
  </si>
  <si>
    <t xml:space="preserve">EN→ML (formal): It's raining cats and dogs, so your delivery may be delayed. We sincerely apologise for the inconvenience and appreciate your patience.</t>
  </si>
  <si>
    <t xml:space="preserve">Idiom rendered as heavy rain (e.g. കനത്ത മഴ), not literal cats and dogs; polite customer-service register.</t>
  </si>
  <si>
    <t xml:space="preserve">മഴ പെയ്യുന്നു, അതുകൊണ്ട് താങ്കളുടെ വിതരണം വൈകിയേക്കാം. ഈ അസൗകര്യത്തിൽ ഞങ്ങൾ ഖേദിക്കുന്നു, നിങ്ങളുടെ ക്ഷമയ്ക്ക് നന്ദി.</t>
  </si>
  <si>
    <t xml:space="preserve">Meaning / translation</t>
  </si>
  <si>
    <t xml:space="preserve">Idiom avoided but softened to just 'it's raining'. 'Delivery' became 'വിതരണം' (distribution). Switches honorific mid-message (താങ്കളുടെ then നിങ്ങളുടെ).</t>
  </si>
  <si>
    <t xml:space="preserve">T21</t>
  </si>
  <si>
    <t xml:space="preserve">Round trip</t>
  </si>
  <si>
    <t xml:space="preserve">Translate English → your language → English; compare meaning with the original</t>
  </si>
  <si>
    <t xml:space="preserve">EN→ML→EN: Please carry your Aadhaar card and arrive 15 minutes before your appointment; late arrivals may need to reschedule.</t>
  </si>
  <si>
    <t xml:space="preserve">Back-translation keeps Aadhaar, 15 minutes, and the 'may need to reschedule' condition.</t>
  </si>
  <si>
    <t xml:space="preserve">ML: …ആധാർ കാർഡ് കൊണ്ടുവരികയും… 15 മിനിറ്റ് മുമ്പ്… Back to EN: 'Please bring your Aadhar card and arrive 15 minutes prior to your appointment; late arrivals may require a rescheduling.'</t>
  </si>
  <si>
    <t xml:space="preserve">Meaning, number and condition all survive.</t>
  </si>
  <si>
    <t xml:space="preserve">T22</t>
  </si>
  <si>
    <t xml:space="preserve">Entities</t>
  </si>
  <si>
    <t xml:space="preserve">Translate a sentence with names, amounts and a URL; check they survive unchanged</t>
  </si>
  <si>
    <t xml:space="preserve">EN→ML: Hi Arjun, your refund of ₹1,299 for order #KX-48213 will reach your HDFC account by 2 Nov. Track it at www.example.in/track.</t>
  </si>
  <si>
    <t xml:space="preserve">Arjun, ₹1,299, #KX-48213, HDFC, 2 Nov and the URL survive unchanged.</t>
  </si>
  <si>
    <t xml:space="preserve">നമസ്കാരം അർജുൻ, ഓർഡർ #KX-48213-ന് ₹1,299 തിരിച്ചുനൽകൽ നവംബർ 2-ന് നിങ്ങളുടെ HDFC അക്കൗണ്ടിൽ എത്തും. www.example.in/track. ൽ ട്രാക്ക് ചെയ്യുക.</t>
  </si>
  <si>
    <t xml:space="preserve">All entities preserved. The sentence-ending period is now glued to the URL ('/track.'), which can break the link.</t>
  </si>
  <si>
    <t xml:space="preserve">T23</t>
  </si>
  <si>
    <t xml:space="preserve">Model comparison</t>
  </si>
  <si>
    <t xml:space="preserve">T13 audio on the older model (saaras:v3, codemix mode)</t>
  </si>
  <si>
    <t xml:space="preserve">Same T13 audio, saaras:v3 with mode=codemix</t>
  </si>
  <si>
    <t xml:space="preserve">Matches T13 or better on English words; compare script handling with T13.</t>
  </si>
  <si>
    <t xml:space="preserve">ഇന്നലെ ഞാൻ ലൂ മാല്യ പോയി പക്ഷേ പാർക്കിംഗ് ഫുൾ ആയിരുന്നു സോ ഞങ്ങൾ എടാപ്പള്ളി മെട്രോ സ്റ്റേഷനിൽ നിന്ന് ഓട്ടോ പിടിച്ചു</t>
  </si>
  <si>
    <t xml:space="preserve">Older model (saaras:v3, codemix) is worse than v4: 'Lulu Mall-il' became 'ലൂ മാല്യ', and no punctuation.</t>
  </si>
  <si>
    <t xml:space="preserve">T24</t>
  </si>
  <si>
    <t xml:space="preserve">Register</t>
  </si>
  <si>
    <t xml:space="preserve">T20 in modern-colloquial mode</t>
  </si>
  <si>
    <t xml:space="preserve">Same T20 input, mode=modern-colloquial</t>
  </si>
  <si>
    <t xml:space="preserve">Sounds like how a Kerala support agent would actually message; still polite; idiom handled.</t>
  </si>
  <si>
    <t xml:space="preserve">അത് cats and dogs rain ആണ്, so നിങ്ങളുടെ delivery delay ആകാൻ chance ഉണ്ട്. Inconvenience-ന് ഞങ്ങൾ sincerely apologise ചെയ്യുന്നു…</t>
  </si>
  <si>
    <t xml:space="preserve">Colloquial mode translates the idiom literally ('cats and dogs rain'), which formal mode avoided. A customer would find this confusing.</t>
  </si>
  <si>
    <t xml:space="preserve">T25</t>
  </si>
  <si>
    <t xml:space="preserve">Language detection</t>
  </si>
  <si>
    <t xml:space="preserve">T13 audio with language auto-detect</t>
  </si>
  <si>
    <t xml:space="preserve">Same T13 audio, language_code=unknown</t>
  </si>
  <si>
    <t xml:space="preserve">Detects Malayalam (ml-IN) despite heavy English mixing; transcript close to T13.</t>
  </si>
  <si>
    <t xml:space="preserve">Detected ml-IN with probability 1.0; transcript identical to T13.</t>
  </si>
  <si>
    <t xml:space="preserve">T26</t>
  </si>
  <si>
    <t xml:space="preserve">Fix check</t>
  </si>
  <si>
    <t xml:space="preserve">T13 audio with keyterms (saaras:v4): first in English, then in Malayalam script</t>
  </si>
  <si>
    <t xml:space="preserve">keyterms=["Lulu Mall","Edappally"], then keyterms=["ലുലു മാൾ","ഇടപ്പള്ളി"]</t>
  </si>
  <si>
    <t xml:space="preserve">Key terms fix both names.</t>
  </si>
  <si>
    <t xml:space="preserve">English key terms: no change at all. Malayalam-script key terms: 'ലുലു മാളിൽ' (fixed) and 'എടപ്പള്ളി' (closer, still not ഇടപ്പള്ളി).</t>
  </si>
  <si>
    <t xml:space="preserve">Key terms only work in the output script. English terms (the format shown in the docs example) are silently ignored for Malayalam output, with no warning.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</si>
  <si>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</si>
  <si>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</si>
  <si>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</si>
  <si>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</si>
  <si>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</si>
  <si>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</si>
  <si>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</si>
  <si>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</si>
  <si>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</si>
  <si>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</si>
  <si>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</si>
  <si>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</si>
  <si>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</si>
  <si>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</si>
  <si>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Count</t>
  </si>
  <si>
    <t xml:space="preserve">Total tests logged</t>
  </si>
  <si>
    <t xml:space="preserve">Failures (excl. passed)</t>
  </si>
  <si>
    <t xml:space="preserve">What it means</t>
  </si>
  <si>
    <t xml:space="preserve">Output was correct and natural.</t>
  </si>
  <si>
    <t xml:space="preserve">Code-mix break</t>
  </si>
  <si>
    <t xml:space="preserve">Mishandles mid-sentence switching between English and an Indian language (wrong script, dropped words, switches language unprompted).</t>
  </si>
  <si>
    <t xml:space="preserve">Wrong digits, units, currency, lakh/crore, or numbers read out unnaturally.</t>
  </si>
  <si>
    <t xml:space="preserve">Date / time</t>
  </si>
  <si>
    <t xml:space="preserve">Wrong date, time, or format; misreads relative dates (kal, parso).</t>
  </si>
  <si>
    <t xml:space="preserve">Misspells or mangles people, places, brands, or product names.</t>
  </si>
  <si>
    <t xml:space="preserve">Script / transliteration</t>
  </si>
  <si>
    <t xml:space="preserve">Wrong script, or poor Roman-to-native script conversion or the reverse.</t>
  </si>
  <si>
    <t xml:space="preserve">Fluent but meaning shifted, idiom translated literally, or register wrong (too formal or too casual).</t>
  </si>
  <si>
    <t xml:space="preserve">Hallucination / fact</t>
  </si>
  <si>
    <t xml:space="preserve">States something false or invents details, especially about Indian context.</t>
  </si>
  <si>
    <t xml:space="preserve">Ignores format, length, language, or constraint asked for.</t>
  </si>
  <si>
    <t xml:space="preserve">Pronunciation / prosody</t>
  </si>
  <si>
    <t xml:space="preserve">TTS mispronounces, wrong stress, robotic pacing, odd pauses.</t>
  </si>
  <si>
    <t xml:space="preserve">Correct but too slow for the use case (note seconds).</t>
  </si>
  <si>
    <t xml:space="preserve">Other</t>
  </si>
  <si>
    <t xml:space="preserve">Anything else; describe in Notes.</t>
  </si>
  <si>
    <t xml:space="preserve">Noticeable but harmless.</t>
  </si>
  <si>
    <t xml:space="preserve">Would confuse a user or need a retry.</t>
  </si>
  <si>
    <t xml:space="preserve">Wrong action or wrong information a user would act on (money, dates, names in a real flow).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</si>
</sst>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  <dxf>
      <fill>
        <patternFill patternType="solid">
          <fgColor rgb="FFBBF7D0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>
          <bgColor rgb="FFFCA5A5"/>
        </patternFill>
      </fill>
    </dxf>
    <dxf>
      <fill>
        <patternFill>
          <bgColor rgb="FFBBF7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CA5A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5" t="s">
        <v>2</v>
      </c>
    </row>
    <row r="6" customFormat="false" ht="26.2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26.2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6" t="s">
        <v>9</v>
      </c>
    </row>
    <row r="14" customFormat="false" ht="26.25" hidden="false" customHeight="true" outlineLevel="0" collapsed="false">
      <c r="A14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48"/>
    <col collapsed="false" customWidth="true" hidden="false" outlineLevel="0" max="5" min="5" style="1" width="36"/>
    <col collapsed="false" customWidth="true" hidden="false" outlineLevel="0" max="7" min="6" style="1" width="30"/>
    <col collapsed="false" customWidth="true" hidden="false" outlineLevel="0" max="8" min="8" style="1" width="22"/>
    <col collapsed="false" customWidth="true" hidden="false" outlineLevel="0" max="10" min="9" style="1" width="11"/>
    <col collapsed="false" customWidth="true" hidden="false" outlineLevel="0" max="11" min="11" style="1" width="30"/>
  </cols>
  <sheetData>
    <row r="1" customFormat="false" ht="26.25" hidden="false" customHeight="true" outlineLevel="0" collapsed="false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</row>
    <row r="2" customFormat="false" ht="26.25" hidden="false" customHeight="true" outlineLevel="0" collapsed="false">
      <c r="A2" s="8" t="s">
        <v>22</v>
      </c>
      <c r="B2" s="8" t="s">
        <v>23</v>
      </c>
      <c r="C2" s="8" t="s">
        <v>24</v>
      </c>
      <c r="D2" s="8" t="s">
        <v>25</v>
      </c>
      <c r="E2" s="9" t="s">
        <v>26</v>
      </c>
      <c r="F2" s="9" t="s">
        <v>27</v>
      </c>
      <c r="G2" s="9" t="s">
        <v>28</v>
      </c>
      <c r="H2" s="9" t="s">
        <v>29</v>
      </c>
      <c r="I2" s="9"/>
      <c r="J2" s="9" t="s">
        <v>30</v>
      </c>
      <c r="K2" s="9" t="s">
        <v>31</v>
      </c>
    </row>
    <row r="3" customFormat="false" ht="26.25" hidden="false" customHeight="true" outlineLevel="0" collapsed="false">
      <c r="A3" s="8" t="s">
        <v>32</v>
      </c>
      <c r="B3" s="8" t="s">
        <v>23</v>
      </c>
      <c r="C3" s="8" t="s">
        <v>24</v>
      </c>
      <c r="D3" s="8" t="s">
        <v>33</v>
      </c>
      <c r="E3" s="9" t="s">
        <v>34</v>
      </c>
      <c r="F3" s="9" t="s">
        <v>35</v>
      </c>
      <c r="G3" s="9" t="s">
        <v>36</v>
      </c>
      <c r="H3" s="9" t="s">
        <v>29</v>
      </c>
      <c r="I3" s="9"/>
      <c r="J3" s="9" t="s">
        <v>30</v>
      </c>
      <c r="K3" s="9" t="s">
        <v>37</v>
      </c>
    </row>
    <row r="4" customFormat="false" ht="26.25" hidden="false" customHeight="true" outlineLevel="0" collapsed="false">
      <c r="A4" s="8" t="s">
        <v>38</v>
      </c>
      <c r="B4" s="8" t="s">
        <v>39</v>
      </c>
      <c r="C4" s="8" t="s">
        <v>24</v>
      </c>
      <c r="D4" s="8" t="s">
        <v>40</v>
      </c>
      <c r="E4" s="9" t="s">
        <v>41</v>
      </c>
      <c r="F4" s="9" t="s">
        <v>42</v>
      </c>
      <c r="G4" s="9" t="s">
        <v>43</v>
      </c>
      <c r="H4" s="9" t="s">
        <v>29</v>
      </c>
      <c r="I4" s="9"/>
      <c r="J4" s="9"/>
      <c r="K4" s="9" t="s">
        <v>44</v>
      </c>
    </row>
    <row r="5" customFormat="false" ht="26.25" hidden="false" customHeight="true" outlineLevel="0" collapsed="false">
      <c r="A5" s="8" t="s">
        <v>45</v>
      </c>
      <c r="B5" s="8" t="s">
        <v>23</v>
      </c>
      <c r="C5" s="8" t="s">
        <v>46</v>
      </c>
      <c r="D5" s="8" t="s">
        <v>47</v>
      </c>
      <c r="E5" s="9" t="s">
        <v>48</v>
      </c>
      <c r="F5" s="9" t="s">
        <v>49</v>
      </c>
      <c r="G5" s="9" t="s">
        <v>50</v>
      </c>
      <c r="H5" s="9" t="s">
        <v>29</v>
      </c>
      <c r="I5" s="9"/>
      <c r="J5" s="9" t="s">
        <v>51</v>
      </c>
      <c r="K5" s="9" t="s">
        <v>52</v>
      </c>
    </row>
    <row r="6" customFormat="false" ht="26.25" hidden="false" customHeight="true" outlineLevel="0" collapsed="false">
      <c r="A6" s="8" t="s">
        <v>53</v>
      </c>
      <c r="B6" s="8" t="s">
        <v>39</v>
      </c>
      <c r="C6" s="8" t="s">
        <v>46</v>
      </c>
      <c r="D6" s="8" t="s">
        <v>54</v>
      </c>
      <c r="E6" s="9" t="s">
        <v>55</v>
      </c>
      <c r="F6" s="9" t="s">
        <v>56</v>
      </c>
      <c r="G6" s="9" t="s">
        <v>57</v>
      </c>
      <c r="H6" s="9" t="s">
        <v>58</v>
      </c>
      <c r="I6" s="9" t="s">
        <v>59</v>
      </c>
      <c r="J6" s="9"/>
      <c r="K6" s="9" t="s">
        <v>60</v>
      </c>
    </row>
    <row r="7" customFormat="false" ht="26.25" hidden="false" customHeight="true" outlineLevel="0" collapsed="false">
      <c r="A7" s="8" t="s">
        <v>61</v>
      </c>
      <c r="B7" s="8" t="s">
        <v>23</v>
      </c>
      <c r="C7" s="8" t="s">
        <v>62</v>
      </c>
      <c r="D7" s="8" t="s">
        <v>63</v>
      </c>
      <c r="E7" s="9" t="s">
        <v>64</v>
      </c>
      <c r="F7" s="9" t="s">
        <v>65</v>
      </c>
      <c r="G7" s="9" t="s">
        <v>66</v>
      </c>
      <c r="H7" s="9" t="s">
        <v>29</v>
      </c>
      <c r="I7" s="9"/>
      <c r="J7" s="9" t="s">
        <v>67</v>
      </c>
      <c r="K7" s="9" t="s">
        <v>68</v>
      </c>
    </row>
    <row r="8" customFormat="false" ht="26.25" hidden="false" customHeight="true" outlineLevel="0" collapsed="false">
      <c r="A8" s="8" t="s">
        <v>69</v>
      </c>
      <c r="B8" s="8" t="s">
        <v>23</v>
      </c>
      <c r="C8" s="8" t="s">
        <v>70</v>
      </c>
      <c r="D8" s="8" t="s">
        <v>71</v>
      </c>
      <c r="E8" s="9" t="s">
        <v>72</v>
      </c>
      <c r="F8" s="9" t="s">
        <v>73</v>
      </c>
      <c r="G8" s="9" t="s">
        <v>74</v>
      </c>
      <c r="H8" s="9" t="s">
        <v>75</v>
      </c>
      <c r="I8" s="9" t="s">
        <v>76</v>
      </c>
      <c r="J8" s="9" t="s">
        <v>77</v>
      </c>
      <c r="K8" s="9" t="s">
        <v>78</v>
      </c>
    </row>
    <row r="9" customFormat="false" ht="26.25" hidden="false" customHeight="true" outlineLevel="0" collapsed="false">
      <c r="A9" s="8" t="s">
        <v>79</v>
      </c>
      <c r="B9" s="8" t="s">
        <v>23</v>
      </c>
      <c r="C9" s="8" t="s">
        <v>80</v>
      </c>
      <c r="D9" s="8" t="s">
        <v>81</v>
      </c>
      <c r="E9" s="9" t="s">
        <v>82</v>
      </c>
      <c r="F9" s="9" t="s">
        <v>83</v>
      </c>
      <c r="G9" s="9" t="s">
        <v>84</v>
      </c>
      <c r="H9" s="9" t="s">
        <v>29</v>
      </c>
      <c r="I9" s="9"/>
      <c r="J9" s="9" t="s">
        <v>51</v>
      </c>
      <c r="K9" s="9" t="s">
        <v>85</v>
      </c>
    </row>
    <row r="10" customFormat="false" ht="26.25" hidden="false" customHeight="true" outlineLevel="0" collapsed="false">
      <c r="A10" s="8" t="s">
        <v>86</v>
      </c>
      <c r="B10" s="8" t="s">
        <v>23</v>
      </c>
      <c r="C10" s="8" t="s">
        <v>87</v>
      </c>
      <c r="D10" s="8" t="s">
        <v>88</v>
      </c>
      <c r="E10" s="9" t="s">
        <v>89</v>
      </c>
      <c r="F10" s="9" t="s">
        <v>90</v>
      </c>
      <c r="G10" s="9" t="s">
        <v>91</v>
      </c>
      <c r="H10" s="9" t="s">
        <v>29</v>
      </c>
      <c r="I10" s="9"/>
      <c r="J10" s="9" t="s">
        <v>30</v>
      </c>
      <c r="K10" s="9" t="s">
        <v>92</v>
      </c>
    </row>
    <row r="11" customFormat="false" ht="26.25" hidden="false" customHeight="true" outlineLevel="0" collapsed="false">
      <c r="A11" s="8" t="s">
        <v>93</v>
      </c>
      <c r="B11" s="8" t="s">
        <v>23</v>
      </c>
      <c r="C11" s="8" t="s">
        <v>94</v>
      </c>
      <c r="D11" s="8" t="s">
        <v>95</v>
      </c>
      <c r="E11" s="9" t="s">
        <v>96</v>
      </c>
      <c r="F11" s="9" t="s">
        <v>97</v>
      </c>
      <c r="G11" s="9" t="s">
        <v>98</v>
      </c>
      <c r="H11" s="9" t="s">
        <v>29</v>
      </c>
      <c r="I11" s="9"/>
      <c r="J11" s="9" t="s">
        <v>67</v>
      </c>
      <c r="K11" s="9"/>
    </row>
    <row r="12" customFormat="false" ht="26.25" hidden="false" customHeight="true" outlineLevel="0" collapsed="false">
      <c r="A12" s="8" t="s">
        <v>99</v>
      </c>
      <c r="B12" s="8" t="s">
        <v>23</v>
      </c>
      <c r="C12" s="8" t="s">
        <v>100</v>
      </c>
      <c r="D12" s="8" t="s">
        <v>101</v>
      </c>
      <c r="E12" s="9" t="s">
        <v>102</v>
      </c>
      <c r="F12" s="9" t="s">
        <v>103</v>
      </c>
      <c r="G12" s="9" t="s">
        <v>104</v>
      </c>
      <c r="H12" s="9" t="s">
        <v>105</v>
      </c>
      <c r="I12" s="9" t="s">
        <v>76</v>
      </c>
      <c r="J12" s="9" t="s">
        <v>77</v>
      </c>
      <c r="K12" s="9" t="s">
        <v>106</v>
      </c>
    </row>
    <row r="13" customFormat="false" ht="39" hidden="false" customHeight="true" outlineLevel="0" collapsed="false">
      <c r="A13" s="8" t="s">
        <v>107</v>
      </c>
      <c r="B13" s="8" t="s">
        <v>108</v>
      </c>
      <c r="C13" s="8" t="s">
        <v>109</v>
      </c>
      <c r="D13" s="8" t="s">
        <v>110</v>
      </c>
      <c r="E13" s="9" t="s">
        <v>111</v>
      </c>
      <c r="F13" s="9" t="s">
        <v>112</v>
      </c>
      <c r="G13" s="9" t="s">
        <v>113</v>
      </c>
      <c r="H13" s="9" t="s">
        <v>114</v>
      </c>
      <c r="I13" s="9" t="s">
        <v>115</v>
      </c>
      <c r="J13" s="9" t="s">
        <v>116</v>
      </c>
      <c r="K13" s="9" t="s">
        <v>117</v>
      </c>
    </row>
    <row r="14" customFormat="false" ht="26.25" hidden="false" customHeight="true" outlineLevel="0" collapsed="false">
      <c r="A14" s="8" t="s">
        <v>118</v>
      </c>
      <c r="B14" s="8" t="s">
        <v>119</v>
      </c>
      <c r="C14" s="8" t="s">
        <v>24</v>
      </c>
      <c r="D14" s="8" t="s">
        <v>120</v>
      </c>
      <c r="E14" s="9" t="s">
        <v>121</v>
      </c>
      <c r="F14" s="9" t="s">
        <v>122</v>
      </c>
      <c r="G14" s="9" t="s">
        <v>123</v>
      </c>
      <c r="H14" s="9" t="s">
        <v>75</v>
      </c>
      <c r="I14" s="9" t="s">
        <v>115</v>
      </c>
      <c r="J14" s="9" t="n">
        <v>0.77</v>
      </c>
      <c r="K14" s="9" t="s">
        <v>124</v>
      </c>
    </row>
    <row r="15" customFormat="false" ht="26.25" hidden="false" customHeight="true" outlineLevel="0" collapsed="false">
      <c r="A15" s="8" t="s">
        <v>125</v>
      </c>
      <c r="B15" s="8" t="s">
        <v>119</v>
      </c>
      <c r="C15" s="8" t="s">
        <v>46</v>
      </c>
      <c r="D15" s="8" t="s">
        <v>126</v>
      </c>
      <c r="E15" s="9" t="s">
        <v>127</v>
      </c>
      <c r="F15" s="9" t="s">
        <v>128</v>
      </c>
      <c r="G15" s="9" t="s">
        <v>129</v>
      </c>
      <c r="H15" s="9" t="s">
        <v>29</v>
      </c>
      <c r="I15" s="9"/>
      <c r="J15" s="9" t="n">
        <v>0.7</v>
      </c>
      <c r="K15" s="9" t="s">
        <v>130</v>
      </c>
    </row>
    <row r="16" customFormat="false" ht="26.25" hidden="false" customHeight="true" outlineLevel="0" collapsed="false">
      <c r="A16" s="8" t="s">
        <v>131</v>
      </c>
      <c r="B16" s="8" t="s">
        <v>119</v>
      </c>
      <c r="C16" s="8" t="s">
        <v>132</v>
      </c>
      <c r="D16" s="8" t="s">
        <v>133</v>
      </c>
      <c r="E16" s="9" t="s">
        <v>134</v>
      </c>
      <c r="F16" s="9" t="s">
        <v>135</v>
      </c>
      <c r="G16" s="9" t="s">
        <v>136</v>
      </c>
      <c r="H16" s="9" t="s">
        <v>75</v>
      </c>
      <c r="I16" s="9" t="s">
        <v>76</v>
      </c>
      <c r="J16" s="9" t="s">
        <v>137</v>
      </c>
      <c r="K16" s="9" t="s">
        <v>138</v>
      </c>
    </row>
    <row r="17" customFormat="false" ht="26.25" hidden="false" customHeight="true" outlineLevel="0" collapsed="false">
      <c r="A17" s="8" t="s">
        <v>139</v>
      </c>
      <c r="B17" s="8" t="s">
        <v>119</v>
      </c>
      <c r="C17" s="8" t="s">
        <v>140</v>
      </c>
      <c r="D17" s="8" t="s">
        <v>141</v>
      </c>
      <c r="E17" s="9" t="s">
        <v>142</v>
      </c>
      <c r="F17" s="9" t="s">
        <v>143</v>
      </c>
      <c r="G17" s="9" t="s">
        <v>144</v>
      </c>
      <c r="H17" s="9" t="s">
        <v>29</v>
      </c>
      <c r="I17" s="9"/>
      <c r="J17" s="9" t="n">
        <v>1.54</v>
      </c>
      <c r="K17" s="9" t="s">
        <v>145</v>
      </c>
    </row>
    <row r="18" customFormat="false" ht="26.25" hidden="false" customHeight="true" outlineLevel="0" collapsed="false">
      <c r="A18" s="8" t="s">
        <v>146</v>
      </c>
      <c r="B18" s="8" t="s">
        <v>147</v>
      </c>
      <c r="C18" s="8" t="s">
        <v>46</v>
      </c>
      <c r="D18" s="8" t="s">
        <v>148</v>
      </c>
      <c r="E18" s="9" t="s">
        <v>149</v>
      </c>
      <c r="F18" s="9" t="s">
        <v>150</v>
      </c>
      <c r="G18" s="9" t="s">
        <v>151</v>
      </c>
      <c r="H18" s="9" t="s">
        <v>29</v>
      </c>
      <c r="I18" s="9"/>
      <c r="J18" s="9" t="n">
        <v>3.18</v>
      </c>
      <c r="K18" s="9" t="s">
        <v>152</v>
      </c>
    </row>
    <row r="19" customFormat="false" ht="26.25" hidden="false" customHeight="true" outlineLevel="0" collapsed="false">
      <c r="A19" s="8" t="s">
        <v>153</v>
      </c>
      <c r="B19" s="8" t="s">
        <v>147</v>
      </c>
      <c r="C19" s="8" t="s">
        <v>70</v>
      </c>
      <c r="D19" s="8" t="s">
        <v>154</v>
      </c>
      <c r="E19" s="9" t="s">
        <v>155</v>
      </c>
      <c r="F19" s="9" t="s">
        <v>156</v>
      </c>
      <c r="G19" s="9" t="s">
        <v>157</v>
      </c>
      <c r="H19" s="9" t="s">
        <v>29</v>
      </c>
      <c r="I19" s="9"/>
      <c r="J19" s="9" t="n">
        <v>1.93</v>
      </c>
      <c r="K19" s="9" t="s">
        <v>158</v>
      </c>
    </row>
    <row r="20" customFormat="false" ht="26.25" hidden="false" customHeight="true" outlineLevel="0" collapsed="false">
      <c r="A20" s="8" t="s">
        <v>159</v>
      </c>
      <c r="B20" s="8" t="s">
        <v>147</v>
      </c>
      <c r="C20" s="8" t="s">
        <v>24</v>
      </c>
      <c r="D20" s="8" t="s">
        <v>160</v>
      </c>
      <c r="E20" s="9" t="s">
        <v>161</v>
      </c>
      <c r="F20" s="9" t="s">
        <v>162</v>
      </c>
      <c r="G20" s="9" t="s">
        <v>163</v>
      </c>
      <c r="H20" s="9" t="s">
        <v>29</v>
      </c>
      <c r="I20" s="9"/>
      <c r="J20" s="9" t="n">
        <v>1.96</v>
      </c>
      <c r="K20" s="9" t="s">
        <v>164</v>
      </c>
    </row>
    <row r="21" customFormat="false" ht="26.25" hidden="false" customHeight="true" outlineLevel="0" collapsed="false">
      <c r="A21" s="8" t="s">
        <v>165</v>
      </c>
      <c r="B21" s="8" t="s">
        <v>166</v>
      </c>
      <c r="C21" s="8" t="s">
        <v>167</v>
      </c>
      <c r="D21" s="8" t="s">
        <v>168</v>
      </c>
      <c r="E21" s="9" t="s">
        <v>169</v>
      </c>
      <c r="F21" s="9" t="s">
        <v>170</v>
      </c>
      <c r="G21" s="9" t="s">
        <v>171</v>
      </c>
      <c r="H21" s="9" t="s">
        <v>172</v>
      </c>
      <c r="I21" s="9" t="s">
        <v>115</v>
      </c>
      <c r="J21" s="9" t="n">
        <v>1</v>
      </c>
      <c r="K21" s="9" t="s">
        <v>173</v>
      </c>
    </row>
    <row r="22" customFormat="false" ht="26.25" hidden="false" customHeight="true" outlineLevel="0" collapsed="false">
      <c r="A22" s="8" t="s">
        <v>174</v>
      </c>
      <c r="B22" s="8" t="s">
        <v>166</v>
      </c>
      <c r="C22" s="8" t="s">
        <v>175</v>
      </c>
      <c r="D22" s="8" t="s">
        <v>176</v>
      </c>
      <c r="E22" s="9" t="s">
        <v>177</v>
      </c>
      <c r="F22" s="9" t="s">
        <v>178</v>
      </c>
      <c r="G22" s="9" t="s">
        <v>179</v>
      </c>
      <c r="H22" s="9" t="s">
        <v>29</v>
      </c>
      <c r="I22" s="9"/>
      <c r="J22" s="9" t="n">
        <v>2.07</v>
      </c>
      <c r="K22" s="9" t="s">
        <v>180</v>
      </c>
    </row>
    <row r="23" customFormat="false" ht="26.25" hidden="false" customHeight="true" outlineLevel="0" collapsed="false">
      <c r="A23" s="8" t="s">
        <v>181</v>
      </c>
      <c r="B23" s="8" t="s">
        <v>166</v>
      </c>
      <c r="C23" s="8" t="s">
        <v>182</v>
      </c>
      <c r="D23" s="8" t="s">
        <v>183</v>
      </c>
      <c r="E23" s="9" t="s">
        <v>184</v>
      </c>
      <c r="F23" s="9" t="s">
        <v>185</v>
      </c>
      <c r="G23" s="9" t="s">
        <v>186</v>
      </c>
      <c r="H23" s="9" t="s">
        <v>75</v>
      </c>
      <c r="I23" s="9" t="s">
        <v>76</v>
      </c>
      <c r="J23" s="9" t="n">
        <v>1.14</v>
      </c>
      <c r="K23" s="9" t="s">
        <v>187</v>
      </c>
    </row>
    <row r="24" customFormat="false" ht="26.25" hidden="false" customHeight="true" outlineLevel="0" collapsed="false">
      <c r="A24" s="8" t="s">
        <v>188</v>
      </c>
      <c r="B24" s="9" t="s">
        <v>119</v>
      </c>
      <c r="C24" s="9" t="s">
        <v>189</v>
      </c>
      <c r="D24" s="9" t="s">
        <v>190</v>
      </c>
      <c r="E24" s="9" t="s">
        <v>191</v>
      </c>
      <c r="F24" s="9" t="s">
        <v>192</v>
      </c>
      <c r="G24" s="9" t="s">
        <v>193</v>
      </c>
      <c r="H24" s="9" t="s">
        <v>75</v>
      </c>
      <c r="I24" s="9" t="s">
        <v>115</v>
      </c>
      <c r="J24" s="9" t="n">
        <v>0.79</v>
      </c>
      <c r="K24" s="9" t="s">
        <v>194</v>
      </c>
    </row>
    <row r="25" customFormat="false" ht="15" hidden="false" customHeight="true" outlineLevel="0" collapsed="false">
      <c r="A25" s="8" t="s">
        <v>195</v>
      </c>
      <c r="B25" s="9" t="s">
        <v>166</v>
      </c>
      <c r="C25" s="9" t="s">
        <v>196</v>
      </c>
      <c r="D25" s="9" t="s">
        <v>197</v>
      </c>
      <c r="E25" s="9" t="s">
        <v>198</v>
      </c>
      <c r="F25" s="9" t="s">
        <v>199</v>
      </c>
      <c r="G25" s="9" t="s">
        <v>200</v>
      </c>
      <c r="H25" s="9" t="s">
        <v>172</v>
      </c>
      <c r="I25" s="9" t="s">
        <v>115</v>
      </c>
      <c r="J25" s="9" t="n">
        <v>1.05</v>
      </c>
      <c r="K25" s="9" t="s">
        <v>201</v>
      </c>
    </row>
    <row r="26" customFormat="false" ht="15" hidden="false" customHeight="true" outlineLevel="0" collapsed="false">
      <c r="A26" s="8" t="s">
        <v>202</v>
      </c>
      <c r="B26" s="9" t="s">
        <v>119</v>
      </c>
      <c r="C26" s="9" t="s">
        <v>203</v>
      </c>
      <c r="D26" s="9" t="s">
        <v>204</v>
      </c>
      <c r="E26" s="9" t="s">
        <v>205</v>
      </c>
      <c r="F26" s="9" t="s">
        <v>206</v>
      </c>
      <c r="G26" s="9" t="s">
        <v>207</v>
      </c>
      <c r="H26" s="9" t="s">
        <v>29</v>
      </c>
      <c r="I26" s="9"/>
      <c r="J26" s="9" t="n">
        <v>0.71</v>
      </c>
      <c r="K26" s="9"/>
    </row>
    <row r="27" customFormat="false" ht="15" hidden="false" customHeight="true" outlineLevel="0" collapsed="false">
      <c r="A27" s="8" t="s">
        <v>208</v>
      </c>
      <c r="B27" s="9" t="s">
        <v>119</v>
      </c>
      <c r="C27" s="9" t="s">
        <v>209</v>
      </c>
      <c r="D27" s="9" t="s">
        <v>210</v>
      </c>
      <c r="E27" s="9" t="s">
        <v>211</v>
      </c>
      <c r="F27" s="9" t="s">
        <v>212</v>
      </c>
      <c r="G27" s="9" t="s">
        <v>213</v>
      </c>
      <c r="H27" s="9" t="s">
        <v>75</v>
      </c>
      <c r="I27" s="9" t="s">
        <v>115</v>
      </c>
      <c r="J27" s="9" t="n">
        <v>0.78</v>
      </c>
      <c r="K27" s="9" t="s">
        <v>214</v>
      </c>
    </row>
    <row r="28" customFormat="false" ht="15" hidden="false" customHeight="true" outlineLevel="0" collapsed="false">
      <c r="A28" s="8" t="s">
        <v>215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true" outlineLevel="0" collapsed="false">
      <c r="A29" s="8" t="s">
        <v>216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true" outlineLevel="0" collapsed="false">
      <c r="A30" s="8" t="s">
        <v>217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1" customFormat="false" ht="15" hidden="false" customHeight="true" outlineLevel="0" collapsed="false">
      <c r="A31" s="8" t="s">
        <v>218</v>
      </c>
      <c r="B31" s="9"/>
      <c r="C31" s="9"/>
      <c r="D31" s="9"/>
      <c r="E31" s="9"/>
      <c r="F31" s="9"/>
      <c r="G31" s="9"/>
      <c r="H31" s="9"/>
      <c r="I31" s="9"/>
      <c r="J31" s="9"/>
      <c r="K31" s="9"/>
    </row>
    <row r="32" customFormat="false" ht="15" hidden="false" customHeight="true" outlineLevel="0" collapsed="false">
      <c r="A32" s="8" t="s">
        <v>219</v>
      </c>
      <c r="B32" s="9"/>
      <c r="C32" s="9"/>
      <c r="D32" s="9"/>
      <c r="E32" s="9"/>
      <c r="F32" s="9"/>
      <c r="G32" s="9"/>
      <c r="H32" s="9"/>
      <c r="I32" s="9"/>
      <c r="J32" s="9"/>
      <c r="K32" s="9"/>
    </row>
    <row r="33" customFormat="false" ht="15" hidden="false" customHeight="true" outlineLevel="0" collapsed="false">
      <c r="A33" s="8" t="s">
        <v>220</v>
      </c>
      <c r="B33" s="9"/>
      <c r="C33" s="9"/>
      <c r="D33" s="9"/>
      <c r="E33" s="9"/>
      <c r="F33" s="9"/>
      <c r="G33" s="9"/>
      <c r="H33" s="9"/>
      <c r="I33" s="9"/>
      <c r="J33" s="9"/>
      <c r="K33" s="9"/>
    </row>
    <row r="34" customFormat="false" ht="15" hidden="false" customHeight="true" outlineLevel="0" collapsed="false">
      <c r="A34" s="8" t="s">
        <v>221</v>
      </c>
      <c r="B34" s="9"/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8" t="s">
        <v>222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true" outlineLevel="0" collapsed="false">
      <c r="A36" s="8" t="s">
        <v>223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true" outlineLevel="0" collapsed="false">
      <c r="A37" s="8" t="s">
        <v>224</v>
      </c>
      <c r="B37" s="9"/>
      <c r="C37" s="9"/>
      <c r="D37" s="9"/>
      <c r="E37" s="9"/>
      <c r="F37" s="9"/>
      <c r="G37" s="9"/>
      <c r="H37" s="9"/>
      <c r="I37" s="9"/>
      <c r="J37" s="9"/>
      <c r="K37" s="9"/>
    </row>
    <row r="38" customFormat="false" ht="15" hidden="false" customHeight="true" outlineLevel="0" collapsed="false">
      <c r="A38" s="8" t="s">
        <v>225</v>
      </c>
      <c r="B38" s="9"/>
      <c r="C38" s="9"/>
      <c r="D38" s="9"/>
      <c r="E38" s="9"/>
      <c r="F38" s="9"/>
      <c r="G38" s="9"/>
      <c r="H38" s="9"/>
      <c r="I38" s="9"/>
      <c r="J38" s="9"/>
      <c r="K38" s="9"/>
    </row>
    <row r="39" customFormat="false" ht="15" hidden="false" customHeight="true" outlineLevel="0" collapsed="false">
      <c r="A39" s="8" t="s">
        <v>226</v>
      </c>
      <c r="B39" s="9"/>
      <c r="C39" s="9"/>
      <c r="D39" s="9"/>
      <c r="E39" s="9"/>
      <c r="F39" s="9"/>
      <c r="G39" s="9"/>
      <c r="H39" s="9"/>
      <c r="I39" s="9"/>
      <c r="J39" s="9"/>
      <c r="K39" s="9"/>
    </row>
    <row r="40" customFormat="false" ht="15" hidden="false" customHeight="true" outlineLevel="0" collapsed="false">
      <c r="A40" s="8" t="s">
        <v>227</v>
      </c>
      <c r="B40" s="9"/>
      <c r="C40" s="9"/>
      <c r="D40" s="9"/>
      <c r="E40" s="9"/>
      <c r="F40" s="9"/>
      <c r="G40" s="9"/>
      <c r="H40" s="9"/>
      <c r="I40" s="9"/>
      <c r="J40" s="9"/>
      <c r="K40" s="9"/>
    </row>
    <row r="41" customFormat="false" ht="15" hidden="false" customHeight="true" outlineLevel="0" collapsed="false">
      <c r="A41" s="8" t="s">
        <v>228</v>
      </c>
      <c r="B41" s="9"/>
      <c r="C41" s="9"/>
      <c r="D41" s="9"/>
      <c r="E41" s="9"/>
      <c r="F41" s="9"/>
      <c r="G41" s="9"/>
      <c r="H41" s="9"/>
      <c r="I41" s="9"/>
      <c r="J41" s="9"/>
      <c r="K41" s="9"/>
    </row>
    <row r="42" customFormat="false" ht="15" hidden="false" customHeight="true" outlineLevel="0" collapsed="false"/>
  </sheetData>
  <autoFilter ref="A1:K42"/>
  <conditionalFormatting sqref="I2:I42">
    <cfRule type="expression" priority="2" aboveAverage="0" equalAverage="0" bottom="0" percent="0" rank="0" text="" dxfId="7">
      <formula>$I2="High"</formula>
    </cfRule>
  </conditionalFormatting>
  <conditionalFormatting sqref="H2:H42">
    <cfRule type="expression" priority="3" aboveAverage="0" equalAverage="0" bottom="0" percent="0" rank="0" text="" dxfId="8">
      <formula>$H2="None (passed)"</formula>
    </cfRule>
  </conditionalFormatting>
  <dataValidations count="2">
    <dataValidation allowBlank="true" errorStyle="stop" operator="between" showDropDown="false" showErrorMessage="false" showInputMessage="false" sqref="H2:H42" type="list">
      <formula1>'Error types'!$A$2:$A$13</formula1>
      <formula2>0</formula2>
    </dataValidation>
    <dataValidation allowBlank="true" errorStyle="stop" operator="between" showDropDown="false" showErrorMessage="false" showInputMessage="false" sqref="I2:I42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0"/>
  </cols>
  <sheetData>
    <row r="1" customFormat="false" ht="15" hidden="false" customHeight="true" outlineLevel="0" collapsed="false">
      <c r="A1" s="10" t="s">
        <v>18</v>
      </c>
      <c r="B1" s="10" t="s">
        <v>229</v>
      </c>
      <c r="C1" s="10" t="s">
        <v>59</v>
      </c>
      <c r="D1" s="10" t="s">
        <v>115</v>
      </c>
      <c r="E1" s="10" t="s">
        <v>76</v>
      </c>
    </row>
    <row r="2" customFormat="false" ht="15" hidden="false" customHeight="true" outlineLevel="0" collapsed="false">
      <c r="A2" s="11" t="str">
        <f aca="false">'Error types'!A2</f>
        <v>None (passed)</v>
      </c>
      <c r="B2" s="11" t="n">
        <f aca="false">COUNTIF('Test log'!$H$2:$H$42,A2)</f>
        <v>15</v>
      </c>
      <c r="C2" s="11" t="n">
        <f aca="false">COUNTIFS('Test log'!$H$2:$H$42,A2,'Test log'!$I$2:$I$42,"High")</f>
        <v>0</v>
      </c>
      <c r="D2" s="11" t="n">
        <f aca="false">COUNTIFS('Test log'!$H$2:$H$42,A2,'Test log'!$I$2:$I$42,"Medium")</f>
        <v>0</v>
      </c>
      <c r="E2" s="11" t="n">
        <f aca="false">COUNTIFS('Test log'!$H$2:$H$42,A2,'Test log'!$I$2:$I$42,"Low")</f>
        <v>0</v>
      </c>
    </row>
    <row r="3" customFormat="false" ht="15" hidden="false" customHeight="true" outlineLevel="0" collapsed="false">
      <c r="A3" s="11" t="str">
        <f aca="false">'Error types'!A3</f>
        <v>Code-mix break</v>
      </c>
      <c r="B3" s="11" t="n">
        <f aca="false">COUNTIF('Test log'!$H$2:$H$42,A3)</f>
        <v>0</v>
      </c>
      <c r="C3" s="11" t="n">
        <f aca="false">COUNTIFS('Test log'!$H$2:$H$42,A3,'Test log'!$I$2:$I$42,"High")</f>
        <v>0</v>
      </c>
      <c r="D3" s="11" t="n">
        <f aca="false">COUNTIFS('Test log'!$H$2:$H$42,A3,'Test log'!$I$2:$I$42,"Medium")</f>
        <v>0</v>
      </c>
      <c r="E3" s="11" t="n">
        <f aca="false">COUNTIFS('Test log'!$H$2:$H$42,A3,'Test log'!$I$2:$I$42,"Low")</f>
        <v>0</v>
      </c>
    </row>
    <row r="4" customFormat="false" ht="15" hidden="false" customHeight="true" outlineLevel="0" collapsed="false">
      <c r="A4" s="11" t="str">
        <f aca="false">'Error types'!A4</f>
        <v>Number / amount</v>
      </c>
      <c r="B4" s="11" t="n">
        <f aca="false">COUNTIF('Test log'!$H$2:$H$42,A4)</f>
        <v>1</v>
      </c>
      <c r="C4" s="11" t="n">
        <f aca="false">COUNTIFS('Test log'!$H$2:$H$42,A4,'Test log'!$I$2:$I$42,"High")</f>
        <v>1</v>
      </c>
      <c r="D4" s="11" t="n">
        <f aca="false">COUNTIFS('Test log'!$H$2:$H$42,A4,'Test log'!$I$2:$I$42,"Medium")</f>
        <v>0</v>
      </c>
      <c r="E4" s="11" t="n">
        <f aca="false">COUNTIFS('Test log'!$H$2:$H$42,A4,'Test log'!$I$2:$I$42,"Low")</f>
        <v>0</v>
      </c>
    </row>
    <row r="5" customFormat="false" ht="15" hidden="false" customHeight="true" outlineLevel="0" collapsed="false">
      <c r="A5" s="11" t="str">
        <f aca="false">'Error types'!A5</f>
        <v>Date / time</v>
      </c>
      <c r="B5" s="11" t="n">
        <f aca="false">COUNTIF('Test log'!$H$2:$H$42,A5)</f>
        <v>0</v>
      </c>
      <c r="C5" s="11" t="n">
        <f aca="false">COUNTIFS('Test log'!$H$2:$H$42,A5,'Test log'!$I$2:$I$42,"High")</f>
        <v>0</v>
      </c>
      <c r="D5" s="11" t="n">
        <f aca="false">COUNTIFS('Test log'!$H$2:$H$42,A5,'Test log'!$I$2:$I$42,"Medium")</f>
        <v>0</v>
      </c>
      <c r="E5" s="11" t="n">
        <f aca="false">COUNTIFS('Test log'!$H$2:$H$42,A5,'Test log'!$I$2:$I$42,"Low")</f>
        <v>0</v>
      </c>
    </row>
    <row r="6" customFormat="false" ht="15" hidden="false" customHeight="true" outlineLevel="0" collapsed="false">
      <c r="A6" s="11" t="str">
        <f aca="false">'Error types'!A6</f>
        <v>Name / entity</v>
      </c>
      <c r="B6" s="11" t="n">
        <f aca="false">COUNTIF('Test log'!$H$2:$H$42,A6)</f>
        <v>6</v>
      </c>
      <c r="C6" s="11" t="n">
        <f aca="false">COUNTIFS('Test log'!$H$2:$H$42,A6,'Test log'!$I$2:$I$42,"High")</f>
        <v>0</v>
      </c>
      <c r="D6" s="11" t="n">
        <f aca="false">COUNTIFS('Test log'!$H$2:$H$42,A6,'Test log'!$I$2:$I$42,"Medium")</f>
        <v>3</v>
      </c>
      <c r="E6" s="11" t="n">
        <f aca="false">COUNTIFS('Test log'!$H$2:$H$42,A6,'Test log'!$I$2:$I$42,"Low")</f>
        <v>3</v>
      </c>
    </row>
    <row r="7" customFormat="false" ht="15" hidden="false" customHeight="true" outlineLevel="0" collapsed="false">
      <c r="A7" s="11" t="str">
        <f aca="false">'Error types'!A7</f>
        <v>Script / transliteration</v>
      </c>
      <c r="B7" s="11" t="n">
        <f aca="false">COUNTIF('Test log'!$H$2:$H$42,A7)</f>
        <v>0</v>
      </c>
      <c r="C7" s="11" t="n">
        <f aca="false">COUNTIFS('Test log'!$H$2:$H$42,A7,'Test log'!$I$2:$I$42,"High")</f>
        <v>0</v>
      </c>
      <c r="D7" s="11" t="n">
        <f aca="false">COUNTIFS('Test log'!$H$2:$H$42,A7,'Test log'!$I$2:$I$42,"Medium")</f>
        <v>0</v>
      </c>
      <c r="E7" s="11" t="n">
        <f aca="false">COUNTIFS('Test log'!$H$2:$H$42,A7,'Test log'!$I$2:$I$42,"Low")</f>
        <v>0</v>
      </c>
    </row>
    <row r="8" customFormat="false" ht="15" hidden="false" customHeight="true" outlineLevel="0" collapsed="false">
      <c r="A8" s="11" t="str">
        <f aca="false">'Error types'!A8</f>
        <v>Meaning / translation</v>
      </c>
      <c r="B8" s="11" t="n">
        <f aca="false">COUNTIF('Test log'!$H$2:$H$42,A8)</f>
        <v>2</v>
      </c>
      <c r="C8" s="11" t="n">
        <f aca="false">COUNTIFS('Test log'!$H$2:$H$42,A8,'Test log'!$I$2:$I$42,"High")</f>
        <v>0</v>
      </c>
      <c r="D8" s="11" t="n">
        <f aca="false">COUNTIFS('Test log'!$H$2:$H$42,A8,'Test log'!$I$2:$I$42,"Medium")</f>
        <v>2</v>
      </c>
      <c r="E8" s="11" t="n">
        <f aca="false">COUNTIFS('Test log'!$H$2:$H$42,A8,'Test log'!$I$2:$I$42,"Low")</f>
        <v>0</v>
      </c>
    </row>
    <row r="9" customFormat="false" ht="15" hidden="false" customHeight="true" outlineLevel="0" collapsed="false">
      <c r="A9" s="11" t="str">
        <f aca="false">'Error types'!A9</f>
        <v>Hallucination / fact</v>
      </c>
      <c r="B9" s="11" t="n">
        <f aca="false">COUNTIF('Test log'!$H$2:$H$42,A9)</f>
        <v>0</v>
      </c>
      <c r="C9" s="11" t="n">
        <f aca="false">COUNTIFS('Test log'!$H$2:$H$42,A9,'Test log'!$I$2:$I$42,"High")</f>
        <v>0</v>
      </c>
      <c r="D9" s="11" t="n">
        <f aca="false">COUNTIFS('Test log'!$H$2:$H$42,A9,'Test log'!$I$2:$I$42,"Medium")</f>
        <v>0</v>
      </c>
      <c r="E9" s="11" t="n">
        <f aca="false">COUNTIFS('Test log'!$H$2:$H$42,A9,'Test log'!$I$2:$I$42,"Low")</f>
        <v>0</v>
      </c>
    </row>
    <row r="10" customFormat="false" ht="15" hidden="false" customHeight="true" outlineLevel="0" collapsed="false">
      <c r="A10" s="11" t="str">
        <f aca="false">'Error types'!A10</f>
        <v>Instruction miss</v>
      </c>
      <c r="B10" s="11" t="n">
        <f aca="false">COUNTIF('Test log'!$H$2:$H$42,A10)</f>
        <v>1</v>
      </c>
      <c r="C10" s="11" t="n">
        <f aca="false">COUNTIFS('Test log'!$H$2:$H$42,A10,'Test log'!$I$2:$I$42,"High")</f>
        <v>0</v>
      </c>
      <c r="D10" s="11" t="n">
        <f aca="false">COUNTIFS('Test log'!$H$2:$H$42,A10,'Test log'!$I$2:$I$42,"Medium")</f>
        <v>0</v>
      </c>
      <c r="E10" s="11" t="n">
        <f aca="false">COUNTIFS('Test log'!$H$2:$H$42,A10,'Test log'!$I$2:$I$42,"Low")</f>
        <v>1</v>
      </c>
    </row>
    <row r="11" customFormat="false" ht="15" hidden="false" customHeight="true" outlineLevel="0" collapsed="false">
      <c r="A11" s="11" t="str">
        <f aca="false">'Error types'!A11</f>
        <v>Pronunciation / prosody</v>
      </c>
      <c r="B11" s="11" t="n">
        <f aca="false">COUNTIF('Test log'!$H$2:$H$42,A11)</f>
        <v>0</v>
      </c>
      <c r="C11" s="11" t="n">
        <f aca="false">COUNTIFS('Test log'!$H$2:$H$42,A11,'Test log'!$I$2:$I$42,"High")</f>
        <v>0</v>
      </c>
      <c r="D11" s="11" t="n">
        <f aca="false">COUNTIFS('Test log'!$H$2:$H$42,A11,'Test log'!$I$2:$I$42,"Medium")</f>
        <v>0</v>
      </c>
      <c r="E11" s="11" t="n">
        <f aca="false">COUNTIFS('Test log'!$H$2:$H$42,A11,'Test log'!$I$2:$I$42,"Low")</f>
        <v>0</v>
      </c>
    </row>
    <row r="12" customFormat="false" ht="15" hidden="false" customHeight="true" outlineLevel="0" collapsed="false">
      <c r="A12" s="11" t="str">
        <f aca="false">'Error types'!A12</f>
        <v>Latency</v>
      </c>
      <c r="B12" s="11" t="n">
        <f aca="false">COUNTIF('Test log'!$H$2:$H$42,A12)</f>
        <v>1</v>
      </c>
      <c r="C12" s="11" t="n">
        <f aca="false">COUNTIFS('Test log'!$H$2:$H$42,A12,'Test log'!$I$2:$I$42,"High")</f>
        <v>0</v>
      </c>
      <c r="D12" s="11" t="n">
        <f aca="false">COUNTIFS('Test log'!$H$2:$H$42,A12,'Test log'!$I$2:$I$42,"Medium")</f>
        <v>1</v>
      </c>
      <c r="E12" s="11" t="n">
        <f aca="false">COUNTIFS('Test log'!$H$2:$H$42,A12,'Test log'!$I$2:$I$42,"Low")</f>
        <v>0</v>
      </c>
    </row>
    <row r="13" customFormat="false" ht="15" hidden="false" customHeight="true" outlineLevel="0" collapsed="false">
      <c r="A13" s="11" t="str">
        <f aca="false">'Error types'!A13</f>
        <v>Other</v>
      </c>
      <c r="B13" s="11" t="n">
        <f aca="false">COUNTIF('Test log'!$H$2:$H$42,A13)</f>
        <v>0</v>
      </c>
      <c r="C13" s="11" t="n">
        <f aca="false">COUNTIFS('Test log'!$H$2:$H$42,A13,'Test log'!$I$2:$I$42,"High")</f>
        <v>0</v>
      </c>
      <c r="D13" s="11" t="n">
        <f aca="false">COUNTIFS('Test log'!$H$2:$H$42,A13,'Test log'!$I$2:$I$42,"Medium")</f>
        <v>0</v>
      </c>
      <c r="E13" s="11" t="n">
        <f aca="false">COUNTIFS('Test log'!$H$2:$H$42,A13,'Test log'!$I$2:$I$42,"Low")</f>
        <v>0</v>
      </c>
    </row>
    <row r="14" customFormat="false" ht="15" hidden="false" customHeight="true" outlineLevel="0" collapsed="false">
      <c r="A14" s="12" t="s">
        <v>230</v>
      </c>
      <c r="B14" s="12" t="n">
        <f aca="false">SUM(B2:B13)</f>
        <v>26</v>
      </c>
      <c r="C14" s="12"/>
      <c r="D14" s="12"/>
      <c r="E14" s="12"/>
    </row>
    <row r="15" customFormat="false" ht="15" hidden="false" customHeight="true" outlineLevel="0" collapsed="false">
      <c r="A15" s="12" t="s">
        <v>231</v>
      </c>
      <c r="B15" s="12" t="n">
        <f aca="false">B14-B2</f>
        <v>11</v>
      </c>
      <c r="C15" s="12"/>
      <c r="D15" s="12"/>
      <c r="E15" s="12"/>
    </row>
    <row r="17" customFormat="false" ht="15" hidden="false" customHeight="true" outlineLevel="0" collapsed="false">
      <c r="A1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5" hidden="false" customHeight="true" outlineLevel="0" collapsed="false">
      <c r="A1" s="10" t="s">
        <v>18</v>
      </c>
      <c r="B1" s="10" t="s">
        <v>232</v>
      </c>
    </row>
    <row r="2" customFormat="false" ht="15" hidden="false" customHeight="true" outlineLevel="0" collapsed="false">
      <c r="A2" s="8" t="s">
        <v>29</v>
      </c>
      <c r="B2" s="8" t="s">
        <v>233</v>
      </c>
    </row>
    <row r="3" customFormat="false" ht="26.25" hidden="false" customHeight="true" outlineLevel="0" collapsed="false">
      <c r="A3" s="8" t="s">
        <v>234</v>
      </c>
      <c r="B3" s="8" t="s">
        <v>235</v>
      </c>
    </row>
    <row r="4" customFormat="false" ht="15" hidden="false" customHeight="true" outlineLevel="0" collapsed="false">
      <c r="A4" s="8" t="s">
        <v>58</v>
      </c>
      <c r="B4" s="8" t="s">
        <v>236</v>
      </c>
    </row>
    <row r="5" customFormat="false" ht="15" hidden="false" customHeight="true" outlineLevel="0" collapsed="false">
      <c r="A5" s="8" t="s">
        <v>237</v>
      </c>
      <c r="B5" s="8" t="s">
        <v>238</v>
      </c>
    </row>
    <row r="6" customFormat="false" ht="15" hidden="false" customHeight="true" outlineLevel="0" collapsed="false">
      <c r="A6" s="8" t="s">
        <v>75</v>
      </c>
      <c r="B6" s="8" t="s">
        <v>239</v>
      </c>
    </row>
    <row r="7" customFormat="false" ht="15" hidden="false" customHeight="true" outlineLevel="0" collapsed="false">
      <c r="A7" s="8" t="s">
        <v>240</v>
      </c>
      <c r="B7" s="8" t="s">
        <v>241</v>
      </c>
    </row>
    <row r="8" customFormat="false" ht="15" hidden="false" customHeight="true" outlineLevel="0" collapsed="false">
      <c r="A8" s="8" t="s">
        <v>172</v>
      </c>
      <c r="B8" s="8" t="s">
        <v>242</v>
      </c>
    </row>
    <row r="9" customFormat="false" ht="15" hidden="false" customHeight="true" outlineLevel="0" collapsed="false">
      <c r="A9" s="8" t="s">
        <v>243</v>
      </c>
      <c r="B9" s="8" t="s">
        <v>244</v>
      </c>
    </row>
    <row r="10" customFormat="false" ht="15" hidden="false" customHeight="true" outlineLevel="0" collapsed="false">
      <c r="A10" s="8" t="s">
        <v>105</v>
      </c>
      <c r="B10" s="8" t="s">
        <v>245</v>
      </c>
    </row>
    <row r="11" customFormat="false" ht="15" hidden="false" customHeight="true" outlineLevel="0" collapsed="false">
      <c r="A11" s="8" t="s">
        <v>246</v>
      </c>
      <c r="B11" s="8" t="s">
        <v>247</v>
      </c>
    </row>
    <row r="12" customFormat="false" ht="15" hidden="false" customHeight="true" outlineLevel="0" collapsed="false">
      <c r="A12" s="8" t="s">
        <v>114</v>
      </c>
      <c r="B12" s="8" t="s">
        <v>248</v>
      </c>
    </row>
    <row r="13" customFormat="false" ht="15" hidden="false" customHeight="true" outlineLevel="0" collapsed="false">
      <c r="A13" s="8" t="s">
        <v>249</v>
      </c>
      <c r="B13" s="8" t="s">
        <v>250</v>
      </c>
    </row>
    <row r="16" customFormat="false" ht="15" hidden="false" customHeight="true" outlineLevel="0" collapsed="false">
      <c r="A16" s="10" t="s">
        <v>19</v>
      </c>
      <c r="B16" s="10" t="s">
        <v>232</v>
      </c>
    </row>
    <row r="17" customFormat="false" ht="15" hidden="false" customHeight="true" outlineLevel="0" collapsed="false">
      <c r="A17" s="8" t="s">
        <v>76</v>
      </c>
      <c r="B17" s="8" t="s">
        <v>251</v>
      </c>
    </row>
    <row r="18" customFormat="false" ht="15" hidden="false" customHeight="true" outlineLevel="0" collapsed="false">
      <c r="A18" s="8" t="s">
        <v>115</v>
      </c>
      <c r="B18" s="8" t="s">
        <v>252</v>
      </c>
    </row>
    <row r="19" customFormat="false" ht="15" hidden="false" customHeight="true" outlineLevel="0" collapsed="false">
      <c r="A19" s="8" t="s">
        <v>59</v>
      </c>
      <c r="B19" s="8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2026-10-28T06:10:34Z</dcterms:created>
  <dc:creator>openpyxl</dc:creator>
  <dc:description/>
  <dc:language>en-US</dc:language>
  <cp:lastModifiedBy/>
  <dcterms:modified xsi:type="dcterms:W3CDTF">2026-10-28T19:23:28Z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